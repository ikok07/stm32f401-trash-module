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ok/CLionProjects/stm32f401-trash-module/docs/"/>
    </mc:Choice>
  </mc:AlternateContent>
  <xr:revisionPtr revIDLastSave="0" documentId="13_ncr:1_{1CE7716F-1EDD-784F-98C8-27626D46DA25}" xr6:coauthVersionLast="47" xr6:coauthVersionMax="47" xr10:uidLastSave="{00000000-0000-0000-0000-000000000000}"/>
  <bookViews>
    <workbookView xWindow="7780" yWindow="3360" windowWidth="28040" windowHeight="17180" xr2:uid="{3925CBBA-9425-4243-AAD1-1C53B136400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17" i="1"/>
  <c r="E6" i="1"/>
  <c r="E14" i="1"/>
  <c r="E7" i="1"/>
  <c r="E16" i="1"/>
  <c r="E15" i="1"/>
  <c r="E12" i="1"/>
  <c r="E10" i="1"/>
  <c r="E18" i="1"/>
  <c r="E13" i="1"/>
  <c r="E11" i="1"/>
  <c r="E19" i="1"/>
  <c r="E8" i="1"/>
  <c r="E4" i="1"/>
  <c r="E5" i="1"/>
  <c r="E9" i="1"/>
  <c r="E2" i="1"/>
  <c r="E20" i="1" l="1"/>
</calcChain>
</file>

<file path=xl/sharedStrings.xml><?xml version="1.0" encoding="utf-8"?>
<sst xmlns="http://schemas.openxmlformats.org/spreadsheetml/2006/main" count="60" uniqueCount="56">
  <si>
    <t>Part</t>
  </si>
  <si>
    <t>Designator</t>
  </si>
  <si>
    <t>Quantity</t>
  </si>
  <si>
    <t>Price</t>
  </si>
  <si>
    <t>URL</t>
  </si>
  <si>
    <t>STM32 F401RCT6</t>
  </si>
  <si>
    <t>https://www.aliexpress.com/item/1005006220496899.html?spm=a2g0o.productlist.main.6.19a4pssepsseH3&amp;algo_pvid=d377774c-6030-456d-aea9-fbd638ac45cd&amp;algo_exp_id=d377774c-6030-456d-aea9-fbd638ac45cd-5&amp;pdp_ext_f=%7B%22order%22%3A%223%22%2C%22eval%22%3A%221%22%2C%22fromPage%22%3A%22search%22%7D&amp;pdp_npi=6%40dis%21BGN%214.85%214.85%21%21%2119.99%2119.99%21%40211b615317682343787271448e4977%2112000036340479320%21sea%21BG%213190334324%21X%211%210%21n_tag%3A-29919%3Bd%3A74fd2ea5%3Bm03_new_user%3A-29895&amp;curPageLogUid=y6qB0F3J4qlR&amp;utparam-url=scene%3Asearch%7Cquery_from%3A%7Cx_object_id%3A1005006220496899%7C_p_origin_prod%3A</t>
  </si>
  <si>
    <t>U1</t>
  </si>
  <si>
    <t>U2</t>
  </si>
  <si>
    <t>J1</t>
  </si>
  <si>
    <t>-</t>
  </si>
  <si>
    <t>Real Price</t>
  </si>
  <si>
    <t>J2</t>
  </si>
  <si>
    <t>MG995-180 Servo</t>
  </si>
  <si>
    <t>https://tpetrov.com/svetodiod-3mm-zelen-12mcd-246967</t>
  </si>
  <si>
    <t>Resistor 300 Ohm</t>
  </si>
  <si>
    <t>https://tpetrov.com/rezistor-330om-025w-14881</t>
  </si>
  <si>
    <t>https://tpetrov.com/kuplung-250-nx-03m-246741</t>
  </si>
  <si>
    <t>Capacitor 220 uF</t>
  </si>
  <si>
    <t>C2</t>
  </si>
  <si>
    <t>https://www.ardboard.com/index.php?route=product/product&amp;product_id=249&amp;search=MG995</t>
  </si>
  <si>
    <t>VL53L1X Time-of-Flight (ToF) Sensor</t>
  </si>
  <si>
    <t>https://www.aliexpress.com/item/33023119580.html?spm=a2g0o.productlist.main.3.710019a2ipvP77&amp;algo_pvid=36b151b5-80d2-439c-a30c-a3a8c6f11fa6&amp;algo_exp_id=36b151b5-80d2-439c-a30c-a3a8c6f11fa6-2&amp;pdp_ext_f=%7B%22order%22%3A%228%22%2C%22spu_best_type%22%3A%22price%22%2C%22eval%22%3A%221%22%2C%22fromPage%22%3A%22search%22%7D&amp;pdp_npi=6%40dis%21BGN%215.03%214.78%21%21%213.00%212.85%21%40210385bb17684170900431265ed541%2167197629935%21sea%21BG%213190334324%21X%211%210%21n_tag%3A-29919%3Bd%3A74fd2ea5%3Bm03_new_user%3A-29895&amp;curPageLogUid=DCRkMOd8f2N0&amp;utparam-url=scene%3Asearch%7Cquery_from%3A%7Cx_object_id%3A33023119580%7C_p_origin_prod%3A</t>
  </si>
  <si>
    <t>D3</t>
  </si>
  <si>
    <t>D2</t>
  </si>
  <si>
    <t>Yellow LED 3mm</t>
  </si>
  <si>
    <t>Green LED 3mm</t>
  </si>
  <si>
    <t>https://tpetrov.com/svetodiod-3mm-jalt-30mcd-48882</t>
  </si>
  <si>
    <t>Resistor 10K</t>
  </si>
  <si>
    <t>R2...4</t>
  </si>
  <si>
    <t>C1,C3,C4,C5</t>
  </si>
  <si>
    <t>Capacitor 100 nF</t>
  </si>
  <si>
    <t>Capacitor 4.7 uF (Ceramic)</t>
  </si>
  <si>
    <t>https://tpetrov.com/kondenzator-47mf-50v-smd-1206-245474</t>
  </si>
  <si>
    <t>https://tpetrov.com/kondenzator-100nf-50v-250039</t>
  </si>
  <si>
    <t>R5…6</t>
  </si>
  <si>
    <t>https://tpetrov.com/rezistor-10kom-06w-1-247145</t>
  </si>
  <si>
    <t>https://tpetrov.com/kuplung-250-nx-06m-241738</t>
  </si>
  <si>
    <t>Connector M/F 01x06 P2.50mm</t>
  </si>
  <si>
    <t>Connector M/F 01X03 P2.50mm</t>
  </si>
  <si>
    <t>Capacitor 2.2 uF</t>
  </si>
  <si>
    <t>C18</t>
  </si>
  <si>
    <t>https://tpetrov.com/kondenzator-22mf-100v-105c-37954</t>
  </si>
  <si>
    <t>Connector M/F 01x02P2.50mm</t>
  </si>
  <si>
    <t>https://tpetrov.com/kuplung-250-nx-02m-45052</t>
  </si>
  <si>
    <t>MIC5205-3.0 Voltage Regulator</t>
  </si>
  <si>
    <t>C6, C13</t>
  </si>
  <si>
    <t>Capacitor 470 pF</t>
  </si>
  <si>
    <t>C20</t>
  </si>
  <si>
    <t>https://tpetrov.com/kondenzator-470pf-100v-47046</t>
  </si>
  <si>
    <t>Power button</t>
  </si>
  <si>
    <t>J3…4</t>
  </si>
  <si>
    <t>https://tpetrov.com/kondenzator-220mf-10v-105c-48326</t>
  </si>
  <si>
    <t>74HCT240 Level Shifter</t>
  </si>
  <si>
    <t>https://elimex.bg/product/25712-74hct244-dip-20</t>
  </si>
  <si>
    <t>U3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</si>
</sst>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-2]\ * #,##0.00_);_([$€-2]\ * \(#,##0.00\);_([$€-2]\ * &quot;-&quot;??_);_(@_)"/>
  </numFmts>
  <fonts count="4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12"/>
      <name val="Aptos Narrow"/>
      <family val="2"/>
      <scheme val="minor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0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2" fillId="3" borderId="1" xfId="0" applyFont="1" applyFill="1" applyBorder="1"/>
    <xf numFmtId="1" fontId="0" fillId="2" borderId="1" xfId="0" applyNumberFormat="1" applyFill="1" applyBorder="1"/>
    <xf numFmtId="164" fontId="0" fillId="2" borderId="1" xfId="0" applyNumberFormat="1" applyFill="1" applyBorder="1"/>
    <xf numFmtId="0" fontId="1" fillId="2" borderId="1" xfId="1" applyFill="1" applyBorder="1"/>
    <xf numFmtId="0" fontId="0" fillId="4" borderId="1" xfId="0" applyFill="1" applyBorder="1"/>
    <xf numFmtId="1" fontId="0" fillId="4" borderId="1" xfId="0" applyNumberFormat="1" applyFill="1" applyBorder="1"/>
    <xf numFmtId="164" fontId="0" fillId="4" borderId="1" xfId="0" applyNumberForma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tpetrov.com/kuplung-250-nx-03m-246741" TargetMode="External"/><Relationship Id="rId3" Type="http://schemas.openxmlformats.org/officeDocument/2006/relationships/hyperlink" Target="https://www.ardboard.com/index.php?route=product/product&amp;product_id=249&amp;search=MG995" TargetMode="External"/><Relationship Id="rId7" Type="http://schemas.openxmlformats.org/officeDocument/2006/relationships/hyperlink" Target="https://tpetrov.com/kuplung-250-nx-06m-241738" TargetMode="External"/><Relationship Id="rId12" Type="http://schemas.openxmlformats.org/officeDocument/2006/relationships/hyperlink" Target="https://elimex.bg/product/25712-74hct244-dip-20" TargetMode="External"/><Relationship Id="rId2" Type="http://schemas.openxmlformats.org/officeDocument/2006/relationships/hyperlink" Target="https://tpetrov.com/rezistor-330om-025w-14881" TargetMode="External"/><Relationship Id="rId1" Type="http://schemas.openxmlformats.org/officeDocument/2006/relationships/hyperlink" Target="https://tpetrov.com/svetodiod-3mm-zelen-12mcd-246967" TargetMode="External"/><Relationship Id="rId6" Type="http://schemas.openxmlformats.org/officeDocument/2006/relationships/hyperlink" Target="https://tpetrov.com/rezistor-10kom-06w-1-247145" TargetMode="External"/><Relationship Id="rId11" Type="http://schemas.openxmlformats.org/officeDocument/2006/relationships/hyperlink" Target="https://tpetrov.com/kondenzator-470pf-100v-47046" TargetMode="External"/><Relationship Id="rId5" Type="http://schemas.openxmlformats.org/officeDocument/2006/relationships/hyperlink" Target="https://tpetrov.com/kondenzator-100nf-50v-250039" TargetMode="External"/><Relationship Id="rId10" Type="http://schemas.openxmlformats.org/officeDocument/2006/relationships/hyperlink" Target="https://tpetrov.com/kuplung-250-nx-02m-45052" TargetMode="External"/><Relationship Id="rId4" Type="http://schemas.openxmlformats.org/officeDocument/2006/relationships/hyperlink" Target="https://tpetrov.com/kondenzator-47mf-50v-smd-1206-245474" TargetMode="External"/><Relationship Id="rId9" Type="http://schemas.openxmlformats.org/officeDocument/2006/relationships/hyperlink" Target="https://tpetrov.com/kondenzator-22mf-100v-105c-3795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4F765-CC6B-A549-B659-CF658C4B9F27}">
  <dimension ref="A1:F20"/>
  <sheetViews>
    <sheetView tabSelected="1" zoomScale="131" zoomScaleNormal="131" workbookViewId="0">
      <selection activeCell="D3" sqref="D3"/>
    </sheetView>
  </sheetViews>
  <sheetFormatPr baseColWidth="10" defaultRowHeight="16" x14ac:dyDescent="0.2"/>
  <cols>
    <col min="1" max="1" width="32.6640625" customWidth="1"/>
    <col min="2" max="2" width="12" bestFit="1" customWidth="1"/>
    <col min="6" max="6" width="18.5" customWidth="1"/>
  </cols>
  <sheetData>
    <row r="1" spans="1:6" x14ac:dyDescent="0.2">
      <c r="A1" s="3" t="s">
        <v>0</v>
      </c>
      <c r="B1" s="2" t="s">
        <v>1</v>
      </c>
      <c r="C1" s="2" t="s">
        <v>2</v>
      </c>
      <c r="D1" s="2" t="s">
        <v>3</v>
      </c>
      <c r="E1" s="2" t="s">
        <v>11</v>
      </c>
      <c r="F1" s="2" t="s">
        <v>4</v>
      </c>
    </row>
    <row r="2" spans="1:6" x14ac:dyDescent="0.2">
      <c r="A2" s="1" t="s">
        <v>5</v>
      </c>
      <c r="B2" s="1" t="s">
        <v>7</v>
      </c>
      <c r="C2" s="4">
        <v>1</v>
      </c>
      <c r="D2" s="5">
        <v>2.48</v>
      </c>
      <c r="E2" s="5">
        <f>D2*C2</f>
        <v>2.48</v>
      </c>
      <c r="F2" s="1" t="s">
        <v>6</v>
      </c>
    </row>
    <row r="3" spans="1:6" x14ac:dyDescent="0.2">
      <c r="A3" s="1" t="s">
        <v>53</v>
      </c>
      <c r="B3" s="1" t="s">
        <v>55</v>
      </c>
      <c r="C3" s="4">
        <v>1</v>
      </c>
      <c r="D3" s="5">
        <v>0.31</v>
      </c>
      <c r="E3" s="5">
        <f>C3*D3</f>
        <v>0.31</v>
      </c>
      <c r="F3" s="6" t="s">
        <v>54</v>
      </c>
    </row>
    <row r="4" spans="1:6" x14ac:dyDescent="0.2">
      <c r="A4" s="1" t="s">
        <v>45</v>
      </c>
      <c r="B4" s="1" t="s">
        <v>8</v>
      </c>
      <c r="C4" s="4">
        <v>1</v>
      </c>
      <c r="D4" s="5">
        <v>0</v>
      </c>
      <c r="E4" s="5">
        <f t="shared" ref="E4:E19" si="0">D4*C4</f>
        <v>0</v>
      </c>
      <c r="F4" s="6" t="s">
        <v>10</v>
      </c>
    </row>
    <row r="5" spans="1:6" x14ac:dyDescent="0.2">
      <c r="A5" s="1" t="s">
        <v>13</v>
      </c>
      <c r="B5" s="1" t="s">
        <v>10</v>
      </c>
      <c r="C5" s="4">
        <v>1</v>
      </c>
      <c r="D5" s="5">
        <v>9.4600000000000009</v>
      </c>
      <c r="E5" s="5">
        <f t="shared" si="0"/>
        <v>9.4600000000000009</v>
      </c>
      <c r="F5" s="6" t="s">
        <v>20</v>
      </c>
    </row>
    <row r="6" spans="1:6" x14ac:dyDescent="0.2">
      <c r="A6" s="1" t="s">
        <v>43</v>
      </c>
      <c r="B6" s="1" t="s">
        <v>51</v>
      </c>
      <c r="C6" s="4">
        <v>4</v>
      </c>
      <c r="D6" s="5">
        <v>0.06</v>
      </c>
      <c r="E6" s="5">
        <f>C6*D6</f>
        <v>0.24</v>
      </c>
      <c r="F6" s="6" t="s">
        <v>44</v>
      </c>
    </row>
    <row r="7" spans="1:6" x14ac:dyDescent="0.2">
      <c r="A7" s="1" t="s">
        <v>38</v>
      </c>
      <c r="B7" s="1" t="s">
        <v>12</v>
      </c>
      <c r="C7" s="4">
        <v>2</v>
      </c>
      <c r="D7" s="5">
        <v>0.08</v>
      </c>
      <c r="E7" s="5">
        <f>C7*D7</f>
        <v>0.16</v>
      </c>
      <c r="F7" s="6" t="s">
        <v>37</v>
      </c>
    </row>
    <row r="8" spans="1:6" x14ac:dyDescent="0.2">
      <c r="A8" s="1" t="s">
        <v>39</v>
      </c>
      <c r="B8" s="1" t="s">
        <v>9</v>
      </c>
      <c r="C8" s="4">
        <v>2</v>
      </c>
      <c r="D8" s="5">
        <v>0.06</v>
      </c>
      <c r="E8" s="5">
        <f>C8*D8</f>
        <v>0.12</v>
      </c>
      <c r="F8" s="6" t="s">
        <v>17</v>
      </c>
    </row>
    <row r="9" spans="1:6" x14ac:dyDescent="0.2">
      <c r="A9" s="1" t="s">
        <v>21</v>
      </c>
      <c r="B9" s="1" t="s">
        <v>10</v>
      </c>
      <c r="C9" s="4">
        <v>1</v>
      </c>
      <c r="D9" s="5">
        <v>2.44</v>
      </c>
      <c r="E9" s="5">
        <f t="shared" si="0"/>
        <v>2.44</v>
      </c>
      <c r="F9" s="1" t="s">
        <v>22</v>
      </c>
    </row>
    <row r="10" spans="1:6" x14ac:dyDescent="0.2">
      <c r="A10" s="1" t="s">
        <v>25</v>
      </c>
      <c r="B10" s="1" t="s">
        <v>24</v>
      </c>
      <c r="C10" s="4">
        <v>1</v>
      </c>
      <c r="D10" s="5">
        <v>0.43</v>
      </c>
      <c r="E10" s="5">
        <f t="shared" si="0"/>
        <v>0.43</v>
      </c>
      <c r="F10" s="6" t="s">
        <v>27</v>
      </c>
    </row>
    <row r="11" spans="1:6" x14ac:dyDescent="0.2">
      <c r="A11" s="1" t="s">
        <v>26</v>
      </c>
      <c r="B11" s="1" t="s">
        <v>23</v>
      </c>
      <c r="C11" s="4">
        <v>1</v>
      </c>
      <c r="D11" s="5">
        <v>0.15</v>
      </c>
      <c r="E11" s="5">
        <f t="shared" si="0"/>
        <v>0.15</v>
      </c>
      <c r="F11" s="6" t="s">
        <v>14</v>
      </c>
    </row>
    <row r="12" spans="1:6" x14ac:dyDescent="0.2">
      <c r="A12" s="1" t="s">
        <v>28</v>
      </c>
      <c r="B12" s="1" t="s">
        <v>29</v>
      </c>
      <c r="C12" s="4">
        <v>3</v>
      </c>
      <c r="D12" s="5">
        <v>0.1</v>
      </c>
      <c r="E12" s="5">
        <f>C12*D12</f>
        <v>0.30000000000000004</v>
      </c>
      <c r="F12" s="6" t="s">
        <v>36</v>
      </c>
    </row>
    <row r="13" spans="1:6" x14ac:dyDescent="0.2">
      <c r="A13" s="1" t="s">
        <v>15</v>
      </c>
      <c r="B13" s="1" t="s">
        <v>35</v>
      </c>
      <c r="C13" s="4">
        <v>2</v>
      </c>
      <c r="D13" s="5">
        <v>0.03</v>
      </c>
      <c r="E13" s="5">
        <f t="shared" si="0"/>
        <v>0.06</v>
      </c>
      <c r="F13" s="6" t="s">
        <v>16</v>
      </c>
    </row>
    <row r="14" spans="1:6" x14ac:dyDescent="0.2">
      <c r="A14" s="1" t="s">
        <v>40</v>
      </c>
      <c r="B14" s="1" t="s">
        <v>41</v>
      </c>
      <c r="C14" s="4">
        <v>1</v>
      </c>
      <c r="D14" s="5">
        <v>0.13</v>
      </c>
      <c r="E14" s="5">
        <f>C14*D14</f>
        <v>0.13</v>
      </c>
      <c r="F14" s="6" t="s">
        <v>42</v>
      </c>
    </row>
    <row r="15" spans="1:6" x14ac:dyDescent="0.2">
      <c r="A15" s="1" t="s">
        <v>32</v>
      </c>
      <c r="B15" s="1" t="s">
        <v>46</v>
      </c>
      <c r="C15" s="4">
        <v>2</v>
      </c>
      <c r="D15" s="5">
        <v>0.15</v>
      </c>
      <c r="E15" s="5">
        <f>C15*D15</f>
        <v>0.3</v>
      </c>
      <c r="F15" s="6" t="s">
        <v>33</v>
      </c>
    </row>
    <row r="16" spans="1:6" x14ac:dyDescent="0.2">
      <c r="A16" s="1" t="s">
        <v>31</v>
      </c>
      <c r="B16" s="1" t="s">
        <v>30</v>
      </c>
      <c r="C16" s="4">
        <v>4</v>
      </c>
      <c r="D16" s="5">
        <v>0.08</v>
      </c>
      <c r="E16" s="5">
        <f>C16*D16</f>
        <v>0.32</v>
      </c>
      <c r="F16" s="6" t="s">
        <v>34</v>
      </c>
    </row>
    <row r="17" spans="1:6" x14ac:dyDescent="0.2">
      <c r="A17" s="1" t="s">
        <v>47</v>
      </c>
      <c r="B17" s="1" t="s">
        <v>48</v>
      </c>
      <c r="C17" s="4">
        <v>1</v>
      </c>
      <c r="D17" s="5">
        <v>0.08</v>
      </c>
      <c r="E17" s="5">
        <f>C17*D17</f>
        <v>0.08</v>
      </c>
      <c r="F17" s="6" t="s">
        <v>49</v>
      </c>
    </row>
    <row r="18" spans="1:6" x14ac:dyDescent="0.2">
      <c r="A18" s="1" t="s">
        <v>18</v>
      </c>
      <c r="B18" s="1" t="s">
        <v>19</v>
      </c>
      <c r="C18" s="4">
        <v>1</v>
      </c>
      <c r="D18" s="5">
        <v>0.19</v>
      </c>
      <c r="E18" s="5">
        <f t="shared" si="0"/>
        <v>0.19</v>
      </c>
      <c r="F18" s="6" t="s">
        <v>52</v>
      </c>
    </row>
    <row r="19" spans="1:6" x14ac:dyDescent="0.2">
      <c r="A19" s="1" t="s">
        <v>50</v>
      </c>
      <c r="B19" s="1" t="s">
        <v>10</v>
      </c>
      <c r="C19" s="4">
        <v>1</v>
      </c>
      <c r="D19" s="5">
        <v>0</v>
      </c>
      <c r="E19" s="5">
        <f t="shared" si="0"/>
        <v>0</v>
      </c>
      <c r="F19" s="6" t="s">
        <v>10</v>
      </c>
    </row>
    <row r="20" spans="1:6" x14ac:dyDescent="0.2">
      <c r="A20" s="7"/>
      <c r="B20" s="7"/>
      <c r="C20" s="8"/>
      <c r="D20" s="9"/>
      <c r="E20" s="9">
        <f>SUM(E2:E19)</f>
        <v>17.169999999999998</v>
      </c>
      <c r="F20" s="7"/>
    </row>
  </sheetData>
  <phoneticPr fontId="3" type="noConversion"/>
  <hyperlinks>
    <hyperlink ref="F11" r:id="rId1" xr:uid="{90220F24-6D83-824C-92BA-1431B153E746}"/>
    <hyperlink ref="F13" r:id="rId2" xr:uid="{9E900F7F-BB2E-4845-B105-5EFA6A97BD32}"/>
    <hyperlink ref="F5" r:id="rId3" xr:uid="{551C135B-CDCE-574D-8254-18A6AEA7A358}"/>
    <hyperlink ref="F15" r:id="rId4" xr:uid="{23761C77-7ED4-6846-B681-6DEB6ACABC57}"/>
    <hyperlink ref="F16" r:id="rId5" xr:uid="{03A9C16F-E0CB-AE4C-9614-5597E343752E}"/>
    <hyperlink ref="F12" r:id="rId6" xr:uid="{A03C0725-487B-AB40-A0CA-412B1282F360}"/>
    <hyperlink ref="F7" r:id="rId7" xr:uid="{0D7C8135-AAA1-544E-AB24-BC9768CA7DEC}"/>
    <hyperlink ref="F8" r:id="rId8" xr:uid="{C72004BD-BF76-2E4B-BDD6-ADC9F774278A}"/>
    <hyperlink ref="F14" r:id="rId9" xr:uid="{07681066-8E92-D741-8C2F-A3EFE0DE7287}"/>
    <hyperlink ref="F6" r:id="rId10" xr:uid="{7A611CAD-499C-9148-B401-8A8E08534D81}"/>
    <hyperlink ref="F17" r:id="rId11" xr:uid="{93C26B37-6E06-344C-A89C-EE8D38DCCE65}"/>
    <hyperlink ref="F3" r:id="rId12" xr:uid="{62E4B2D0-2664-2A45-8CCC-855F07123A1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Калоян П. Стефанов</dc:creator>
  <cp:lastModifiedBy>Калоян П. Стефанов</cp:lastModifiedBy>
  <dcterms:created xsi:type="dcterms:W3CDTF">2026-01-12T16:01:52Z</dcterms:created>
  <dcterms:modified xsi:type="dcterms:W3CDTF">2026-01-17T19:36:20Z</dcterms:modified>
</cp:coreProperties>
</file>